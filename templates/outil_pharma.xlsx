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Outil" sheetId="2" state="visible" r:id="rId2"/>
    <sheet name="Statistiques" sheetId="3" state="visible" r:id="rId3"/>
    <sheet name="Saisonnalité" sheetId="4" state="visible" r:id="rId4"/>
    <sheet name="Prévisions" sheetId="5" state="visible" r:id="rId5"/>
    <sheet name="État des données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164" fontId="0" fillId="0" borderId="0" pivotButton="0" quotePrefix="0" xfId="0"/>
    <xf numFmtId="0" fontId="4" fillId="3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5" fontId="3" fillId="4" borderId="1" pivotButton="0" quotePrefix="0" xfId="0"/>
    <xf numFmtId="3" fontId="3" fillId="4" borderId="1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_synthese" displayName="tbl_synthese" ref="B4:D5" headerRowCount="1">
  <autoFilter ref="B4:D5"/>
  <tableColumns count="3">
    <tableColumn id="2" name="Indicateur"/>
    <tableColumn id="3" name="Valeur"/>
    <tableColumn id="4" name="Commentaire"/>
  </tableColumns>
  <tableStyleInfo name="TableStyleMedium2" showRowStripes="1"/>
</table>
</file>

<file path=xl/tables/table2.xml><?xml version="1.0" encoding="utf-8"?>
<table xmlns="http://schemas.openxmlformats.org/spreadsheetml/2006/main" id="2" name="tbl_volumes" displayName="tbl_volumes" ref="B4:H5" headerRowCount="1">
  <autoFilter ref="B4:H5"/>
  <tableColumns count="7">
    <tableColumn id="2" name="ATC"/>
    <tableColumn id="3" name="Total (mois complets)"/>
    <tableColumn id="4" name="Part du total"/>
    <tableColumn id="5" name="Moyenne mensuelle"/>
    <tableColumn id="6" name="Mois"/>
    <tableColumn id="7" name="Coefficient de variation"/>
    <tableColumn id="8" name="Stock de sécurité (1 mois)"/>
  </tableColumns>
  <tableStyleInfo name="TableStyleMedium2" showRowStripes="1"/>
</table>
</file>

<file path=xl/tables/table3.xml><?xml version="1.0" encoding="utf-8"?>
<table xmlns="http://schemas.openxmlformats.org/spreadsheetml/2006/main" id="3" name="tbl_tendance" displayName="tbl_tendance" ref="J4:O5" headerRowCount="1">
  <autoFilter ref="J4:O5"/>
  <tableColumns count="6">
    <tableColumn id="10" name="ATC"/>
    <tableColumn id="11" name="Année"/>
    <tableColumn id="12" name="Mois couverts"/>
    <tableColumn id="13" name="Total"/>
    <tableColumn id="14" name="Moyenne mensuelle"/>
    <tableColumn id="15" name="Évolution (mêmes mois)"/>
  </tableColumns>
  <tableStyleInfo name="TableStyleMedium2" showRowStripes="1"/>
</table>
</file>

<file path=xl/tables/table4.xml><?xml version="1.0" encoding="utf-8"?>
<table xmlns="http://schemas.openxmlformats.org/spreadsheetml/2006/main" id="4" name="tbl_saison_mois" displayName="tbl_saison_mois" ref="B4:J5" headerRowCount="1">
  <autoFilter ref="B4:J5"/>
  <tableColumns count="9">
    <tableColumn id="2" name="Mois"/>
    <tableColumn id="3" name="M01AB"/>
    <tableColumn id="4" name="M01AE"/>
    <tableColumn id="5" name="N02BA"/>
    <tableColumn id="6" name="N02BE"/>
    <tableColumn id="7" name="N05B"/>
    <tableColumn id="8" name="N05C"/>
    <tableColumn id="9" name="R03"/>
    <tableColumn id="10" name="R06"/>
  </tableColumns>
  <tableStyleInfo name="TableStyleLight1" showRowStripes="1"/>
</table>
</file>

<file path=xl/tables/table5.xml><?xml version="1.0" encoding="utf-8"?>
<table xmlns="http://schemas.openxmlformats.org/spreadsheetml/2006/main" id="5" name="tbl_saison_jour" displayName="tbl_saison_jour" ref="L4:T5" headerRowCount="1">
  <autoFilter ref="L4:T5"/>
  <tableColumns count="9">
    <tableColumn id="12" name="Jour"/>
    <tableColumn id="13" name="M01AB"/>
    <tableColumn id="14" name="M01AE"/>
    <tableColumn id="15" name="N02BA"/>
    <tableColumn id="16" name="N02BE"/>
    <tableColumn id="17" name="N05B"/>
    <tableColumn id="18" name="N05C"/>
    <tableColumn id="19" name="R03"/>
    <tableColumn id="20" name="R06"/>
  </tableColumns>
  <tableStyleInfo name="TableStyleLight1" showRowStripes="1"/>
</table>
</file>

<file path=xl/tables/table6.xml><?xml version="1.0" encoding="utf-8"?>
<table xmlns="http://schemas.openxmlformats.org/spreadsheetml/2006/main" id="6" name="tbl_saison_heure" displayName="tbl_saison_heure" ref="V4:AD5" headerRowCount="1">
  <autoFilter ref="V4:AD5"/>
  <tableColumns count="9">
    <tableColumn id="22" name="Heure"/>
    <tableColumn id="23" name="M01AB"/>
    <tableColumn id="24" name="M01AE"/>
    <tableColumn id="25" name="N02BA"/>
    <tableColumn id="26" name="N02BE"/>
    <tableColumn id="27" name="N05B"/>
    <tableColumn id="28" name="N05C"/>
    <tableColumn id="29" name="R03"/>
    <tableColumn id="30" name="R06"/>
  </tableColumns>
  <tableStyleInfo name="TableStyleLight1" showRowStripes="1"/>
</table>
</file>

<file path=xl/tables/table7.xml><?xml version="1.0" encoding="utf-8"?>
<table xmlns="http://schemas.openxmlformats.org/spreadsheetml/2006/main" id="7" name="tbl_prevision" displayName="tbl_prevision" ref="B4:F5" headerRowCount="1">
  <autoFilter ref="B4:F5"/>
  <tableColumns count="5">
    <tableColumn id="2" name="ATC"/>
    <tableColumn id="3" name="Mois prévu"/>
    <tableColumn id="4" name="Prévision"/>
    <tableColumn id="5" name="Modèle retenu"/>
    <tableColumn id="6" name="Prévisible"/>
  </tableColumns>
  <tableStyleInfo name="TableStyleMedium2" showRowStripes="1"/>
</table>
</file>

<file path=xl/tables/table8.xml><?xml version="1.0" encoding="utf-8"?>
<table xmlns="http://schemas.openxmlformats.org/spreadsheetml/2006/main" id="8" name="tbl_backtest" displayName="tbl_backtest" ref="H4:M5" headerRowCount="1">
  <autoFilter ref="H4:M5"/>
  <tableColumns count="6">
    <tableColumn id="8" name="ATC"/>
    <tableColumn id="9" name="Modèle"/>
    <tableColumn id="10" name="MAE"/>
    <tableColumn id="11" name="MAPE"/>
    <tableColumn id="12" name="MASE"/>
    <tableColumn id="13" name="Gain vs meilleure baseline"/>
  </tableColumns>
  <tableStyleInfo name="TableStyleMedium2" showRowStripes="1"/>
</table>
</file>

<file path=xl/tables/table9.xml><?xml version="1.0" encoding="utf-8"?>
<table xmlns="http://schemas.openxmlformats.org/spreadsheetml/2006/main" id="9" name="tbl_effet_externe" displayName="tbl_effet_externe" ref="O4:R5" headerRowCount="1">
  <autoFilter ref="O4:R5"/>
  <tableColumns count="4">
    <tableColumn id="15" name="ATC"/>
    <tableColumn id="16" name="Variable"/>
    <tableColumn id="17" name="Corrélation (hors saisonnalité)"/>
    <tableColumn id="18" name="Δ MASE avec la variable"/>
  </tableColumns>
  <tableStyleInfo name="TableStyleMedium2" showRowStripes="1"/>
</table>
</file>

<file path=xl/tables/table10.xml><?xml version="1.0" encoding="utf-8"?>
<table xmlns="http://schemas.openxmlformats.org/spreadsheetml/2006/main" id="10" name="tbl_reconciliation" displayName="tbl_reconciliation" ref="B4:H5" headerRowCount="1">
  <autoFilter ref="B4:H5"/>
  <tableColumns count="7">
    <tableColumn id="2" name="Comparaison"/>
    <tableColumn id="3" name="Cellules comparées"/>
    <tableColumn id="4" name="Cellules en écart"/>
    <tableColumn id="5" name="Périodes en écart"/>
    <tableColumn id="6" name="Pire écart relatif"/>
    <tableColumn id="7" name="Période du pire écart"/>
    <tableColumn id="8" name="ATC du pire écart"/>
  </tableColumns>
  <tableStyleInfo name="TableStyleMedium2" showRowStripes="1"/>
</table>
</file>

<file path=xl/tables/table11.xml><?xml version="1.0" encoding="utf-8"?>
<table xmlns="http://schemas.openxmlformats.org/spreadsheetml/2006/main" id="11" name="tbl_qualite" displayName="tbl_qualite" ref="B11:F12" headerRowCount="1">
  <autoFilter ref="B11:F12"/>
  <tableColumns count="5">
    <tableColumn id="2" name="Source"/>
    <tableColumn id="3" name="Type"/>
    <tableColumn id="4" name="Constat"/>
    <tableColumn id="5" name="Décision"/>
    <tableColumn id="6" name="Raison"/>
  </tableColumns>
  <tableStyleInfo name="TableStyleMedium2" showRowStripes="1"/>
</table>
</file>

<file path=xl/tables/table12.xml><?xml version="1.0" encoding="utf-8"?>
<table xmlns="http://schemas.openxmlformats.org/spreadsheetml/2006/main" id="12" name="tbl_ventes" displayName="tbl_ventes" ref="A1:M2" headerRowCount="1">
  <autoFilter ref="A1:M2"/>
  <tableColumns count="13">
    <tableColumn id="1" name="Date"/>
    <tableColumn id="2" name="M01AB"/>
    <tableColumn id="3" name="M01AE"/>
    <tableColumn id="4" name="N02BA"/>
    <tableColumn id="5" name="N02BE"/>
    <tableColumn id="6" name="N05B"/>
    <tableColumn id="7" name="N05C"/>
    <tableColumn id="8" name="R03"/>
    <tableColumn id="9" name="R06"/>
    <tableColumn id="10" name="Année"/>
    <tableColumn id="11" name="Mois"/>
    <tableColumn id="12" name="Jour (1 = lundi)"/>
    <tableColumn id="13" name="Sélection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30" customWidth="1" min="3" max="3"/>
    <col width="80" customWidth="1" min="4" max="4"/>
  </cols>
  <sheetData>
    <row r="1">
      <c r="B1" s="1" t="inlineStr">
        <is>
          <t>Analyse des ventes — synthèse</t>
        </is>
      </c>
    </row>
    <row r="2">
      <c r="B2" s="2" t="inlineStr">
        <is>
          <t>Chiffres clés recalculés à chaque exécution de `python main.py`. Quantités = « quantités enregistrées par le logiciel » (unité non documentée).</t>
        </is>
      </c>
    </row>
    <row r="4">
      <c r="B4" t="inlineStr">
        <is>
          <t>Indicateur</t>
        </is>
      </c>
      <c r="C4" t="inlineStr">
        <is>
          <t>Valeur</t>
        </is>
      </c>
      <c r="D4" t="inlineStr">
        <is>
          <t>Commentaire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B1" s="1" t="inlineStr">
        <is>
          <t>Outil de consultation des ventes</t>
        </is>
      </c>
    </row>
    <row r="2">
      <c r="B2" s="2" t="inlineStr">
        <is>
          <t>Choisissez une période (cellules jaunes) et les groupes ATC à inclure (Oui / Non). Tout se recalcule automatiquement.</t>
        </is>
      </c>
    </row>
    <row r="4">
      <c r="B4" s="3" t="inlineStr">
        <is>
          <t>Date de début</t>
        </is>
      </c>
      <c r="C4" s="4">
        <f>DATE(YEAR(MAX(Data!$A:$A)),1,1)</f>
        <v/>
      </c>
      <c r="E4" s="2" t="inlineStr">
        <is>
          <t>Données disponibles du</t>
        </is>
      </c>
      <c r="G4" s="5">
        <f>MIN(Data!$A:$A)</f>
        <v/>
      </c>
      <c r="H4" s="2" t="inlineStr">
        <is>
          <t>au</t>
        </is>
      </c>
      <c r="I4" s="5">
        <f>MAX(Data!$A:$A)</f>
        <v/>
      </c>
    </row>
    <row r="5">
      <c r="B5" s="3" t="inlineStr">
        <is>
          <t>Date de fin</t>
        </is>
      </c>
      <c r="C5" s="4">
        <f>MAX(Data!$A:$A)</f>
        <v/>
      </c>
    </row>
    <row r="8">
      <c r="B8" s="3" t="inlineStr">
        <is>
          <t>Groupe ATC</t>
        </is>
      </c>
      <c r="C8" s="6">
        <f>Data!B1</f>
        <v/>
      </c>
      <c r="D8" s="6">
        <f>Data!C1</f>
        <v/>
      </c>
      <c r="E8" s="6">
        <f>Data!D1</f>
        <v/>
      </c>
      <c r="F8" s="6">
        <f>Data!E1</f>
        <v/>
      </c>
      <c r="G8" s="6">
        <f>Data!F1</f>
        <v/>
      </c>
      <c r="H8" s="6">
        <f>Data!G1</f>
        <v/>
      </c>
      <c r="I8" s="6">
        <f>Data!H1</f>
        <v/>
      </c>
      <c r="J8" s="6">
        <f>Data!I1</f>
        <v/>
      </c>
    </row>
    <row r="9">
      <c r="B9" s="3" t="inlineStr">
        <is>
          <t>Inclure ? (Oui / Non)</t>
        </is>
      </c>
      <c r="C9" s="7" t="inlineStr">
        <is>
          <t>Oui</t>
        </is>
      </c>
      <c r="D9" s="7" t="inlineStr">
        <is>
          <t>Oui</t>
        </is>
      </c>
      <c r="E9" s="7" t="inlineStr">
        <is>
          <t>Oui</t>
        </is>
      </c>
      <c r="F9" s="7" t="inlineStr">
        <is>
          <t>Oui</t>
        </is>
      </c>
      <c r="G9" s="7" t="inlineStr">
        <is>
          <t>Oui</t>
        </is>
      </c>
      <c r="H9" s="7" t="inlineStr">
        <is>
          <t>Oui</t>
        </is>
      </c>
      <c r="I9" s="7" t="inlineStr">
        <is>
          <t>Oui</t>
        </is>
      </c>
      <c r="J9" s="7" t="inlineStr">
        <is>
          <t>Oui</t>
        </is>
      </c>
    </row>
    <row r="10">
      <c r="B10" s="3" t="inlineStr">
        <is>
          <t>Ventes sur la période</t>
        </is>
      </c>
      <c r="C10" s="8">
        <f>IF(C$9="Oui",SUMPRODUCT((Data!$A$2:$A$20000&gt;=$C$4)*(Data!$A$2:$A$20000&lt;=$C$5)*Data!B$2:B$20000),0)</f>
        <v/>
      </c>
      <c r="D10" s="8">
        <f>IF(D$9="Oui",SUMPRODUCT((Data!$A$2:$A$20000&gt;=$C$4)*(Data!$A$2:$A$20000&lt;=$C$5)*Data!C$2:C$20000),0)</f>
        <v/>
      </c>
      <c r="E10" s="8">
        <f>IF(E$9="Oui",SUMPRODUCT((Data!$A$2:$A$20000&gt;=$C$4)*(Data!$A$2:$A$20000&lt;=$C$5)*Data!D$2:D$20000),0)</f>
        <v/>
      </c>
      <c r="F10" s="8">
        <f>IF(F$9="Oui",SUMPRODUCT((Data!$A$2:$A$20000&gt;=$C$4)*(Data!$A$2:$A$20000&lt;=$C$5)*Data!E$2:E$20000),0)</f>
        <v/>
      </c>
      <c r="G10" s="8">
        <f>IF(G$9="Oui",SUMPRODUCT((Data!$A$2:$A$20000&gt;=$C$4)*(Data!$A$2:$A$20000&lt;=$C$5)*Data!F$2:F$20000),0)</f>
        <v/>
      </c>
      <c r="H10" s="8">
        <f>IF(H$9="Oui",SUMPRODUCT((Data!$A$2:$A$20000&gt;=$C$4)*(Data!$A$2:$A$20000&lt;=$C$5)*Data!G$2:G$20000),0)</f>
        <v/>
      </c>
      <c r="I10" s="8">
        <f>IF(I$9="Oui",SUMPRODUCT((Data!$A$2:$A$20000&gt;=$C$4)*(Data!$A$2:$A$20000&lt;=$C$5)*Data!H$2:H$20000),0)</f>
        <v/>
      </c>
      <c r="J10" s="8">
        <f>IF(J$9="Oui",SUMPRODUCT((Data!$A$2:$A$20000&gt;=$C$4)*(Data!$A$2:$A$20000&lt;=$C$5)*Data!I$2:I$20000),0)</f>
        <v/>
      </c>
    </row>
    <row r="11">
      <c r="B11" s="3" t="inlineStr">
        <is>
          <t>Part de la sélection</t>
        </is>
      </c>
      <c r="C11" s="9">
        <f>IF($C$13=0,0,C10/$C$13)</f>
        <v/>
      </c>
      <c r="D11" s="9">
        <f>IF($C$13=0,0,D10/$C$13)</f>
        <v/>
      </c>
      <c r="E11" s="9">
        <f>IF($C$13=0,0,E10/$C$13)</f>
        <v/>
      </c>
      <c r="F11" s="9">
        <f>IF($C$13=0,0,F10/$C$13)</f>
        <v/>
      </c>
      <c r="G11" s="9">
        <f>IF($C$13=0,0,G10/$C$13)</f>
        <v/>
      </c>
      <c r="H11" s="9">
        <f>IF($C$13=0,0,H10/$C$13)</f>
        <v/>
      </c>
      <c r="I11" s="9">
        <f>IF($C$13=0,0,I10/$C$13)</f>
        <v/>
      </c>
      <c r="J11" s="9">
        <f>IF($C$13=0,0,J10/$C$13)</f>
        <v/>
      </c>
    </row>
    <row r="13">
      <c r="B13" s="3" t="inlineStr">
        <is>
          <t>Total de la sélection</t>
        </is>
      </c>
      <c r="C13" s="10">
        <f>SUM(C10:J10)</f>
        <v/>
      </c>
    </row>
    <row r="14">
      <c r="B14" s="3" t="inlineStr">
        <is>
          <t>Jours dans la période</t>
        </is>
      </c>
      <c r="C14" s="11">
        <f>SUMPRODUCT((Data!$A$2:$A$20000&gt;=$C$4)*(Data!$A$2:$A$20000&lt;=$C$5))</f>
        <v/>
      </c>
    </row>
    <row r="15">
      <c r="B15" s="3" t="inlineStr">
        <is>
          <t>Moyenne par jour</t>
        </is>
      </c>
      <c r="C15" s="10">
        <f>IF(C14=0,0,C13/C14)</f>
        <v/>
      </c>
    </row>
    <row r="17">
      <c r="B17" s="3" t="inlineStr">
        <is>
          <t>Par jour de la semaine</t>
        </is>
      </c>
      <c r="C17" s="3" t="inlineStr">
        <is>
          <t>Total</t>
        </is>
      </c>
      <c r="D17" s="3" t="inlineStr">
        <is>
          <t>Moyenne / jour</t>
        </is>
      </c>
      <c r="F17" s="3" t="inlineStr">
        <is>
          <t>Par mois de l'année</t>
        </is>
      </c>
      <c r="G17" s="3" t="inlineStr">
        <is>
          <t>Total</t>
        </is>
      </c>
      <c r="H17" s="3" t="inlineStr">
        <is>
          <t>Moyenne / jour</t>
        </is>
      </c>
    </row>
    <row r="18">
      <c r="B18" t="inlineStr">
        <is>
          <t>Lundi</t>
        </is>
      </c>
      <c r="C18" s="12">
        <f>SUMPRODUCT((Data!$L$2:$L$20000=1)*(Data!$A$2:$A$20000&gt;=$C$4)*(Data!$A$2:$A$20000&lt;=$C$5)*Data!$M$2:$M$20000)</f>
        <v/>
      </c>
      <c r="D18" s="12">
        <f>IFERROR(C18/SUMPRODUCT((Data!$L$2:$L$20000=1)*(Data!$A$2:$A$20000&gt;=$C$4)*(Data!$A$2:$A$20000&lt;=$C$5)),0)</f>
        <v/>
      </c>
      <c r="F18" t="inlineStr">
        <is>
          <t>Janvier</t>
        </is>
      </c>
      <c r="G18" s="12">
        <f>SUMPRODUCT((Data!$K$2:$K$20000=1)*(Data!$A$2:$A$20000&gt;=$C$4)*(Data!$A$2:$A$20000&lt;=$C$5)*Data!$M$2:$M$20000)</f>
        <v/>
      </c>
      <c r="H18" s="12">
        <f>IFERROR(G18/SUMPRODUCT((Data!$K$2:$K$20000=1)*(Data!$A$2:$A$20000&gt;=$C$4)*(Data!$A$2:$A$20000&lt;=$C$5)),0)</f>
        <v/>
      </c>
    </row>
    <row r="19">
      <c r="B19" t="inlineStr">
        <is>
          <t>Mardi</t>
        </is>
      </c>
      <c r="C19" s="12">
        <f>SUMPRODUCT((Data!$L$2:$L$20000=2)*(Data!$A$2:$A$20000&gt;=$C$4)*(Data!$A$2:$A$20000&lt;=$C$5)*Data!$M$2:$M$20000)</f>
        <v/>
      </c>
      <c r="D19" s="12">
        <f>IFERROR(C19/SUMPRODUCT((Data!$L$2:$L$20000=2)*(Data!$A$2:$A$20000&gt;=$C$4)*(Data!$A$2:$A$20000&lt;=$C$5)),0)</f>
        <v/>
      </c>
      <c r="F19" t="inlineStr">
        <is>
          <t>Février</t>
        </is>
      </c>
      <c r="G19" s="12">
        <f>SUMPRODUCT((Data!$K$2:$K$20000=2)*(Data!$A$2:$A$20000&gt;=$C$4)*(Data!$A$2:$A$20000&lt;=$C$5)*Data!$M$2:$M$20000)</f>
        <v/>
      </c>
      <c r="H19" s="12">
        <f>IFERROR(G19/SUMPRODUCT((Data!$K$2:$K$20000=2)*(Data!$A$2:$A$20000&gt;=$C$4)*(Data!$A$2:$A$20000&lt;=$C$5)),0)</f>
        <v/>
      </c>
    </row>
    <row r="20">
      <c r="B20" t="inlineStr">
        <is>
          <t>Mercredi</t>
        </is>
      </c>
      <c r="C20" s="12">
        <f>SUMPRODUCT((Data!$L$2:$L$20000=3)*(Data!$A$2:$A$20000&gt;=$C$4)*(Data!$A$2:$A$20000&lt;=$C$5)*Data!$M$2:$M$20000)</f>
        <v/>
      </c>
      <c r="D20" s="12">
        <f>IFERROR(C20/SUMPRODUCT((Data!$L$2:$L$20000=3)*(Data!$A$2:$A$20000&gt;=$C$4)*(Data!$A$2:$A$20000&lt;=$C$5)),0)</f>
        <v/>
      </c>
      <c r="F20" t="inlineStr">
        <is>
          <t>Mars</t>
        </is>
      </c>
      <c r="G20" s="12">
        <f>SUMPRODUCT((Data!$K$2:$K$20000=3)*(Data!$A$2:$A$20000&gt;=$C$4)*(Data!$A$2:$A$20000&lt;=$C$5)*Data!$M$2:$M$20000)</f>
        <v/>
      </c>
      <c r="H20" s="12">
        <f>IFERROR(G20/SUMPRODUCT((Data!$K$2:$K$20000=3)*(Data!$A$2:$A$20000&gt;=$C$4)*(Data!$A$2:$A$20000&lt;=$C$5)),0)</f>
        <v/>
      </c>
    </row>
    <row r="21">
      <c r="B21" t="inlineStr">
        <is>
          <t>Jeudi</t>
        </is>
      </c>
      <c r="C21" s="12">
        <f>SUMPRODUCT((Data!$L$2:$L$20000=4)*(Data!$A$2:$A$20000&gt;=$C$4)*(Data!$A$2:$A$20000&lt;=$C$5)*Data!$M$2:$M$20000)</f>
        <v/>
      </c>
      <c r="D21" s="12">
        <f>IFERROR(C21/SUMPRODUCT((Data!$L$2:$L$20000=4)*(Data!$A$2:$A$20000&gt;=$C$4)*(Data!$A$2:$A$20000&lt;=$C$5)),0)</f>
        <v/>
      </c>
      <c r="F21" t="inlineStr">
        <is>
          <t>Avril</t>
        </is>
      </c>
      <c r="G21" s="12">
        <f>SUMPRODUCT((Data!$K$2:$K$20000=4)*(Data!$A$2:$A$20000&gt;=$C$4)*(Data!$A$2:$A$20000&lt;=$C$5)*Data!$M$2:$M$20000)</f>
        <v/>
      </c>
      <c r="H21" s="12">
        <f>IFERROR(G21/SUMPRODUCT((Data!$K$2:$K$20000=4)*(Data!$A$2:$A$20000&gt;=$C$4)*(Data!$A$2:$A$20000&lt;=$C$5)),0)</f>
        <v/>
      </c>
    </row>
    <row r="22">
      <c r="B22" t="inlineStr">
        <is>
          <t>Vendredi</t>
        </is>
      </c>
      <c r="C22" s="12">
        <f>SUMPRODUCT((Data!$L$2:$L$20000=5)*(Data!$A$2:$A$20000&gt;=$C$4)*(Data!$A$2:$A$20000&lt;=$C$5)*Data!$M$2:$M$20000)</f>
        <v/>
      </c>
      <c r="D22" s="12">
        <f>IFERROR(C22/SUMPRODUCT((Data!$L$2:$L$20000=5)*(Data!$A$2:$A$20000&gt;=$C$4)*(Data!$A$2:$A$20000&lt;=$C$5)),0)</f>
        <v/>
      </c>
      <c r="F22" t="inlineStr">
        <is>
          <t>Mai</t>
        </is>
      </c>
      <c r="G22" s="12">
        <f>SUMPRODUCT((Data!$K$2:$K$20000=5)*(Data!$A$2:$A$20000&gt;=$C$4)*(Data!$A$2:$A$20000&lt;=$C$5)*Data!$M$2:$M$20000)</f>
        <v/>
      </c>
      <c r="H22" s="12">
        <f>IFERROR(G22/SUMPRODUCT((Data!$K$2:$K$20000=5)*(Data!$A$2:$A$20000&gt;=$C$4)*(Data!$A$2:$A$20000&lt;=$C$5)),0)</f>
        <v/>
      </c>
    </row>
    <row r="23">
      <c r="B23" t="inlineStr">
        <is>
          <t>Samedi</t>
        </is>
      </c>
      <c r="C23" s="12">
        <f>SUMPRODUCT((Data!$L$2:$L$20000=6)*(Data!$A$2:$A$20000&gt;=$C$4)*(Data!$A$2:$A$20000&lt;=$C$5)*Data!$M$2:$M$20000)</f>
        <v/>
      </c>
      <c r="D23" s="12">
        <f>IFERROR(C23/SUMPRODUCT((Data!$L$2:$L$20000=6)*(Data!$A$2:$A$20000&gt;=$C$4)*(Data!$A$2:$A$20000&lt;=$C$5)),0)</f>
        <v/>
      </c>
      <c r="F23" t="inlineStr">
        <is>
          <t>Juin</t>
        </is>
      </c>
      <c r="G23" s="12">
        <f>SUMPRODUCT((Data!$K$2:$K$20000=6)*(Data!$A$2:$A$20000&gt;=$C$4)*(Data!$A$2:$A$20000&lt;=$C$5)*Data!$M$2:$M$20000)</f>
        <v/>
      </c>
      <c r="H23" s="12">
        <f>IFERROR(G23/SUMPRODUCT((Data!$K$2:$K$20000=6)*(Data!$A$2:$A$20000&gt;=$C$4)*(Data!$A$2:$A$20000&lt;=$C$5)),0)</f>
        <v/>
      </c>
    </row>
    <row r="24">
      <c r="B24" t="inlineStr">
        <is>
          <t>Dimanche</t>
        </is>
      </c>
      <c r="C24" s="12">
        <f>SUMPRODUCT((Data!$L$2:$L$20000=7)*(Data!$A$2:$A$20000&gt;=$C$4)*(Data!$A$2:$A$20000&lt;=$C$5)*Data!$M$2:$M$20000)</f>
        <v/>
      </c>
      <c r="D24" s="12">
        <f>IFERROR(C24/SUMPRODUCT((Data!$L$2:$L$20000=7)*(Data!$A$2:$A$20000&gt;=$C$4)*(Data!$A$2:$A$20000&lt;=$C$5)),0)</f>
        <v/>
      </c>
      <c r="F24" t="inlineStr">
        <is>
          <t>Juillet</t>
        </is>
      </c>
      <c r="G24" s="12">
        <f>SUMPRODUCT((Data!$K$2:$K$20000=7)*(Data!$A$2:$A$20000&gt;=$C$4)*(Data!$A$2:$A$20000&lt;=$C$5)*Data!$M$2:$M$20000)</f>
        <v/>
      </c>
      <c r="H24" s="12">
        <f>IFERROR(G24/SUMPRODUCT((Data!$K$2:$K$20000=7)*(Data!$A$2:$A$20000&gt;=$C$4)*(Data!$A$2:$A$20000&lt;=$C$5)),0)</f>
        <v/>
      </c>
    </row>
    <row r="25">
      <c r="F25" t="inlineStr">
        <is>
          <t>Août</t>
        </is>
      </c>
      <c r="G25" s="12">
        <f>SUMPRODUCT((Data!$K$2:$K$20000=8)*(Data!$A$2:$A$20000&gt;=$C$4)*(Data!$A$2:$A$20000&lt;=$C$5)*Data!$M$2:$M$20000)</f>
        <v/>
      </c>
      <c r="H25" s="12">
        <f>IFERROR(G25/SUMPRODUCT((Data!$K$2:$K$20000=8)*(Data!$A$2:$A$20000&gt;=$C$4)*(Data!$A$2:$A$20000&lt;=$C$5)),0)</f>
        <v/>
      </c>
    </row>
    <row r="26">
      <c r="F26" t="inlineStr">
        <is>
          <t>Septembre</t>
        </is>
      </c>
      <c r="G26" s="12">
        <f>SUMPRODUCT((Data!$K$2:$K$20000=9)*(Data!$A$2:$A$20000&gt;=$C$4)*(Data!$A$2:$A$20000&lt;=$C$5)*Data!$M$2:$M$20000)</f>
        <v/>
      </c>
      <c r="H26" s="12">
        <f>IFERROR(G26/SUMPRODUCT((Data!$K$2:$K$20000=9)*(Data!$A$2:$A$20000&gt;=$C$4)*(Data!$A$2:$A$20000&lt;=$C$5)),0)</f>
        <v/>
      </c>
    </row>
    <row r="27">
      <c r="F27" t="inlineStr">
        <is>
          <t>Octobre</t>
        </is>
      </c>
      <c r="G27" s="12">
        <f>SUMPRODUCT((Data!$K$2:$K$20000=10)*(Data!$A$2:$A$20000&gt;=$C$4)*(Data!$A$2:$A$20000&lt;=$C$5)*Data!$M$2:$M$20000)</f>
        <v/>
      </c>
      <c r="H27" s="12">
        <f>IFERROR(G27/SUMPRODUCT((Data!$K$2:$K$20000=10)*(Data!$A$2:$A$20000&gt;=$C$4)*(Data!$A$2:$A$20000&lt;=$C$5)),0)</f>
        <v/>
      </c>
    </row>
    <row r="28">
      <c r="F28" t="inlineStr">
        <is>
          <t>Novembre</t>
        </is>
      </c>
      <c r="G28" s="12">
        <f>SUMPRODUCT((Data!$K$2:$K$20000=11)*(Data!$A$2:$A$20000&gt;=$C$4)*(Data!$A$2:$A$20000&lt;=$C$5)*Data!$M$2:$M$20000)</f>
        <v/>
      </c>
      <c r="H28" s="12">
        <f>IFERROR(G28/SUMPRODUCT((Data!$K$2:$K$20000=11)*(Data!$A$2:$A$20000&gt;=$C$4)*(Data!$A$2:$A$20000&lt;=$C$5)),0)</f>
        <v/>
      </c>
    </row>
    <row r="29">
      <c r="F29" t="inlineStr">
        <is>
          <t>Décembre</t>
        </is>
      </c>
      <c r="G29" s="12">
        <f>SUMPRODUCT((Data!$K$2:$K$20000=12)*(Data!$A$2:$A$20000&gt;=$C$4)*(Data!$A$2:$A$20000&lt;=$C$5)*Data!$M$2:$M$20000)</f>
        <v/>
      </c>
      <c r="H29" s="12">
        <f>IFERROR(G29/SUMPRODUCT((Data!$K$2:$K$20000=12)*(Data!$A$2:$A$20000&gt;=$C$4)*(Data!$A$2:$A$20000&lt;=$C$5)),0)</f>
        <v/>
      </c>
    </row>
  </sheetData>
  <conditionalFormatting sqref="D18:D24">
    <cfRule type="colorScale" priority="1">
      <colorScale>
        <cfvo type="min"/>
        <cfvo type="max"/>
        <color rgb="00FFFFFF"/>
        <color rgb="0063BE7B"/>
      </colorScale>
    </cfRule>
  </conditionalFormatting>
  <conditionalFormatting sqref="H18:H29">
    <cfRule type="colorScale" priority="2">
      <colorScale>
        <cfvo type="min"/>
        <cfvo type="max"/>
        <color rgb="00FFFFFF"/>
        <color rgb="0063BE7B"/>
      </colorScale>
    </cfRule>
  </conditionalFormatting>
  <dataValidations count="2">
    <dataValidation sqref="C4:C5" showDropDown="0" showInputMessage="0" showErrorMessage="1" allowBlank="0" errorTitle="Date invalide" error="Saisissez une date (jj/mm/aaaa)." type="date" operator="greaterThan">
      <formula1>DATE(2000,1,1)</formula1>
    </dataValidation>
    <dataValidation sqref="C9:J9" showDropDown="0" showInputMessage="0" showErrorMessage="1" allowBlank="0" errorTitle="Valeur invalide" error="Choisissez Oui ou Non.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0" customWidth="1" min="3" max="3"/>
    <col width="13" customWidth="1" min="4" max="4"/>
    <col width="18" customWidth="1" min="5" max="5"/>
    <col width="8" customWidth="1" min="6" max="6"/>
    <col width="22" customWidth="1" min="7" max="7"/>
    <col width="24" customWidth="1" min="8" max="8"/>
    <col width="3" customWidth="1" min="9" max="9"/>
    <col width="10" customWidth="1" min="10" max="10"/>
    <col width="9" customWidth="1" min="11" max="11"/>
    <col width="14" customWidth="1" min="12" max="12"/>
    <col width="12" customWidth="1" min="13" max="13"/>
    <col width="18" customWidth="1" min="14" max="14"/>
    <col width="22" customWidth="1" min="15" max="15"/>
  </cols>
  <sheetData>
    <row r="1">
      <c r="B1" s="1" t="inlineStr">
        <is>
          <t>Statistiques descriptives</t>
        </is>
      </c>
    </row>
    <row r="2">
      <c r="B2" s="2" t="inlineStr">
        <is>
          <t>Mois complets uniquement, mensuel recalculé depuis le journalier. Évolution = comparaison aux mêmes mois de l'année précédente.</t>
        </is>
      </c>
    </row>
    <row r="4">
      <c r="B4" t="inlineStr">
        <is>
          <t>ATC</t>
        </is>
      </c>
      <c r="C4" t="inlineStr">
        <is>
          <t>Total (mois complets)</t>
        </is>
      </c>
      <c r="D4" t="inlineStr">
        <is>
          <t>Part du total</t>
        </is>
      </c>
      <c r="E4" t="inlineStr">
        <is>
          <t>Moyenne mensuelle</t>
        </is>
      </c>
      <c r="F4" t="inlineStr">
        <is>
          <t>Mois</t>
        </is>
      </c>
      <c r="G4" t="inlineStr">
        <is>
          <t>Coefficient de variation</t>
        </is>
      </c>
      <c r="H4" t="inlineStr">
        <is>
          <t>Stock de sécurité (1 mois)</t>
        </is>
      </c>
      <c r="J4" t="inlineStr">
        <is>
          <t>ATC</t>
        </is>
      </c>
      <c r="K4" t="inlineStr">
        <is>
          <t>Année</t>
        </is>
      </c>
      <c r="L4" t="inlineStr">
        <is>
          <t>Mois couverts</t>
        </is>
      </c>
      <c r="M4" t="inlineStr">
        <is>
          <t>Total</t>
        </is>
      </c>
      <c r="N4" t="inlineStr">
        <is>
          <t>Moyenne mensuelle</t>
        </is>
      </c>
      <c r="O4" t="inlineStr">
        <is>
          <t>Évolution (mêmes mois)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D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3" customWidth="1" min="11" max="11"/>
    <col width="11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3" customWidth="1" min="21" max="21"/>
    <col width="11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3" customWidth="1" min="31" max="31"/>
  </cols>
  <sheetData>
    <row r="1">
      <c r="B1" s="1" t="inlineStr">
        <is>
          <t>Saisonnalité par groupe ATC</t>
        </is>
      </c>
    </row>
    <row r="2">
      <c r="B2" s="2" t="inlineStr">
        <is>
          <t>Indice 1,00 = niveau moyen du groupe ; 1,30 = 30 % au-dessus de la moyenne. Mois : mensuel ; jour : journalier ; heure : horaire.</t>
        </is>
      </c>
    </row>
    <row r="4">
      <c r="B4" t="inlineStr">
        <is>
          <t>Mois</t>
        </is>
      </c>
      <c r="C4" t="inlineStr">
        <is>
          <t>M01AB</t>
        </is>
      </c>
      <c r="D4" t="inlineStr">
        <is>
          <t>M01AE</t>
        </is>
      </c>
      <c r="E4" t="inlineStr">
        <is>
          <t>N02BA</t>
        </is>
      </c>
      <c r="F4" t="inlineStr">
        <is>
          <t>N02BE</t>
        </is>
      </c>
      <c r="G4" t="inlineStr">
        <is>
          <t>N05B</t>
        </is>
      </c>
      <c r="H4" t="inlineStr">
        <is>
          <t>N05C</t>
        </is>
      </c>
      <c r="I4" t="inlineStr">
        <is>
          <t>R03</t>
        </is>
      </c>
      <c r="J4" t="inlineStr">
        <is>
          <t>R06</t>
        </is>
      </c>
      <c r="L4" t="inlineStr">
        <is>
          <t>Jour</t>
        </is>
      </c>
      <c r="M4" t="inlineStr">
        <is>
          <t>M01AB</t>
        </is>
      </c>
      <c r="N4" t="inlineStr">
        <is>
          <t>M01AE</t>
        </is>
      </c>
      <c r="O4" t="inlineStr">
        <is>
          <t>N02BA</t>
        </is>
      </c>
      <c r="P4" t="inlineStr">
        <is>
          <t>N02BE</t>
        </is>
      </c>
      <c r="Q4" t="inlineStr">
        <is>
          <t>N05B</t>
        </is>
      </c>
      <c r="R4" t="inlineStr">
        <is>
          <t>N05C</t>
        </is>
      </c>
      <c r="S4" t="inlineStr">
        <is>
          <t>R03</t>
        </is>
      </c>
      <c r="T4" t="inlineStr">
        <is>
          <t>R06</t>
        </is>
      </c>
      <c r="V4" t="inlineStr">
        <is>
          <t>Heure</t>
        </is>
      </c>
      <c r="W4" t="inlineStr">
        <is>
          <t>M01AB</t>
        </is>
      </c>
      <c r="X4" t="inlineStr">
        <is>
          <t>M01AE</t>
        </is>
      </c>
      <c r="Y4" t="inlineStr">
        <is>
          <t>N02BA</t>
        </is>
      </c>
      <c r="Z4" t="inlineStr">
        <is>
          <t>N02BE</t>
        </is>
      </c>
      <c r="AA4" t="inlineStr">
        <is>
          <t>N05B</t>
        </is>
      </c>
      <c r="AB4" t="inlineStr">
        <is>
          <t>N05C</t>
        </is>
      </c>
      <c r="AC4" t="inlineStr">
        <is>
          <t>R03</t>
        </is>
      </c>
      <c r="AD4" t="inlineStr">
        <is>
          <t>R06</t>
        </is>
      </c>
    </row>
  </sheetData>
  <conditionalFormatting sqref="C5:J16">
    <cfRule type="colorScale" priority="1">
      <colorScale>
        <cfvo type="num" val="0.5"/>
        <cfvo type="num" val="1"/>
        <cfvo type="num" val="1.5"/>
        <color rgb="005A8AC6"/>
        <color rgb="00FFFFFF"/>
        <color rgb="00F8696B"/>
      </colorScale>
    </cfRule>
  </conditionalFormatting>
  <conditionalFormatting sqref="M5:T11">
    <cfRule type="colorScale" priority="1">
      <colorScale>
        <cfvo type="num" val="0.5"/>
        <cfvo type="num" val="1"/>
        <cfvo type="num" val="1.5"/>
        <color rgb="005A8AC6"/>
        <color rgb="00FFFFFF"/>
        <color rgb="00F8696B"/>
      </colorScale>
    </cfRule>
  </conditionalFormatting>
  <conditionalFormatting sqref="W5:AD28">
    <cfRule type="colorScale" priority="1">
      <colorScale>
        <cfvo type="num" val="0.5"/>
        <cfvo type="num" val="1"/>
        <cfvo type="num" val="1.5"/>
        <color rgb="005A8AC6"/>
        <color rgb="00FFFFFF"/>
        <color rgb="00F8696B"/>
      </colorScale>
    </cfRule>
  </conditionalFormatting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R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2" customWidth="1" min="4" max="4"/>
    <col width="15" customWidth="1" min="5" max="5"/>
    <col width="12" customWidth="1" min="6" max="6"/>
    <col width="3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26" customWidth="1" min="13" max="13"/>
    <col width="3" customWidth="1" min="14" max="14"/>
    <col width="10" customWidth="1" min="15" max="15"/>
    <col width="20" customWidth="1" min="16" max="16"/>
    <col width="30" customWidth="1" min="17" max="17"/>
    <col width="24" customWidth="1" min="18" max="18"/>
  </cols>
  <sheetData>
    <row r="1">
      <c r="B1" s="1" t="inlineStr">
        <is>
          <t>Prévision du mois suivant le dernier mois complet</t>
        </is>
      </c>
    </row>
    <row r="2">
      <c r="B2" s="2" t="inlineStr">
        <is>
          <t>Backtest à origine glissante : chaque mois est prévu avec les seules données antérieures. MASE &lt; 1 = meilleur que le naïf saisonnier.</t>
        </is>
      </c>
    </row>
    <row r="4">
      <c r="B4" t="inlineStr">
        <is>
          <t>ATC</t>
        </is>
      </c>
      <c r="C4" t="inlineStr">
        <is>
          <t>Mois prévu</t>
        </is>
      </c>
      <c r="D4" t="inlineStr">
        <is>
          <t>Prévision</t>
        </is>
      </c>
      <c r="E4" t="inlineStr">
        <is>
          <t>Modèle retenu</t>
        </is>
      </c>
      <c r="F4" t="inlineStr">
        <is>
          <t>Prévisible</t>
        </is>
      </c>
      <c r="H4" t="inlineStr">
        <is>
          <t>ATC</t>
        </is>
      </c>
      <c r="I4" t="inlineStr">
        <is>
          <t>Modèle</t>
        </is>
      </c>
      <c r="J4" t="inlineStr">
        <is>
          <t>MAE</t>
        </is>
      </c>
      <c r="K4" t="inlineStr">
        <is>
          <t>MAPE</t>
        </is>
      </c>
      <c r="L4" t="inlineStr">
        <is>
          <t>MASE</t>
        </is>
      </c>
      <c r="M4" t="inlineStr">
        <is>
          <t>Gain vs meilleure baseline</t>
        </is>
      </c>
      <c r="O4" t="inlineStr">
        <is>
          <t>ATC</t>
        </is>
      </c>
      <c r="P4" t="inlineStr">
        <is>
          <t>Variable</t>
        </is>
      </c>
      <c r="Q4" t="inlineStr">
        <is>
          <t>Corrélation (hors saisonnalité)</t>
        </is>
      </c>
      <c r="R4" t="inlineStr">
        <is>
          <t>Δ MASE avec la variable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30" customWidth="1" min="3" max="3"/>
    <col width="70" customWidth="1" min="4" max="4"/>
    <col width="50" customWidth="1" min="5" max="5"/>
    <col width="60" customWidth="1" min="6" max="6"/>
    <col width="20" customWidth="1" min="7" max="7"/>
    <col width="18" customWidth="1" min="8" max="8"/>
  </cols>
  <sheetData>
    <row r="1">
      <c r="B1" s="1" t="inlineStr">
        <is>
          <t>État des données</t>
        </is>
      </c>
    </row>
    <row r="2">
      <c r="B2" s="2" t="inlineStr">
        <is>
          <t>Réconciliation des 4 exports, contrôles, corrections et exclusions — généré par le pipeline.</t>
        </is>
      </c>
    </row>
    <row r="4">
      <c r="B4" t="inlineStr">
        <is>
          <t>Comparaison</t>
        </is>
      </c>
      <c r="C4" t="inlineStr">
        <is>
          <t>Cellules comparées</t>
        </is>
      </c>
      <c r="D4" t="inlineStr">
        <is>
          <t>Cellules en écart</t>
        </is>
      </c>
      <c r="E4" t="inlineStr">
        <is>
          <t>Périodes en écart</t>
        </is>
      </c>
      <c r="F4" t="inlineStr">
        <is>
          <t>Pire écart relatif</t>
        </is>
      </c>
      <c r="G4" t="inlineStr">
        <is>
          <t>Période du pire écart</t>
        </is>
      </c>
      <c r="H4" t="inlineStr">
        <is>
          <t>ATC du pire écart</t>
        </is>
      </c>
    </row>
    <row r="10">
      <c r="B10" s="3" t="inlineStr">
        <is>
          <t>Constats et décisions</t>
        </is>
      </c>
    </row>
    <row r="11">
      <c r="B11" t="inlineStr">
        <is>
          <t>Source</t>
        </is>
      </c>
      <c r="C11" t="inlineStr">
        <is>
          <t>Type</t>
        </is>
      </c>
      <c r="D11" t="inlineStr">
        <is>
          <t>Constat</t>
        </is>
      </c>
      <c r="E11" t="inlineStr">
        <is>
          <t>Décision</t>
        </is>
      </c>
      <c r="F11" t="inlineStr">
        <is>
          <t>Raison</t>
        </is>
      </c>
    </row>
    <row r="12">
      <c r="B12" s="13" t="n"/>
      <c r="C12" s="13" t="n"/>
      <c r="D12" s="13" t="n"/>
      <c r="E12" s="13" t="n"/>
      <c r="F12" s="13" t="n"/>
    </row>
    <row r="13">
      <c r="B13" s="13" t="n"/>
      <c r="C13" s="13" t="n"/>
      <c r="D13" s="13" t="n"/>
      <c r="E13" s="13" t="n"/>
      <c r="F13" s="13" t="n"/>
    </row>
    <row r="14">
      <c r="B14" s="13" t="n"/>
      <c r="C14" s="13" t="n"/>
      <c r="D14" s="13" t="n"/>
      <c r="E14" s="13" t="n"/>
      <c r="F14" s="13" t="n"/>
    </row>
    <row r="15">
      <c r="B15" s="13" t="n"/>
      <c r="C15" s="13" t="n"/>
      <c r="D15" s="13" t="n"/>
      <c r="E15" s="13" t="n"/>
      <c r="F15" s="13" t="n"/>
    </row>
    <row r="16">
      <c r="B16" s="13" t="n"/>
      <c r="C16" s="13" t="n"/>
      <c r="D16" s="13" t="n"/>
      <c r="E16" s="13" t="n"/>
      <c r="F16" s="13" t="n"/>
    </row>
    <row r="17">
      <c r="B17" s="13" t="n"/>
      <c r="C17" s="13" t="n"/>
      <c r="D17" s="13" t="n"/>
      <c r="E17" s="13" t="n"/>
      <c r="F17" s="13" t="n"/>
    </row>
    <row r="18">
      <c r="B18" s="13" t="n"/>
      <c r="C18" s="13" t="n"/>
      <c r="D18" s="13" t="n"/>
      <c r="E18" s="13" t="n"/>
      <c r="F18" s="13" t="n"/>
    </row>
    <row r="19">
      <c r="B19" s="13" t="n"/>
      <c r="C19" s="13" t="n"/>
      <c r="D19" s="13" t="n"/>
      <c r="E19" s="13" t="n"/>
      <c r="F19" s="13" t="n"/>
    </row>
    <row r="20">
      <c r="B20" s="13" t="n"/>
      <c r="C20" s="13" t="n"/>
      <c r="D20" s="13" t="n"/>
      <c r="E20" s="13" t="n"/>
      <c r="F20" s="13" t="n"/>
    </row>
    <row r="21">
      <c r="B21" s="13" t="n"/>
      <c r="C21" s="13" t="n"/>
      <c r="D21" s="13" t="n"/>
      <c r="E21" s="13" t="n"/>
      <c r="F21" s="13" t="n"/>
    </row>
    <row r="22">
      <c r="B22" s="13" t="n"/>
      <c r="C22" s="13" t="n"/>
      <c r="D22" s="13" t="n"/>
      <c r="E22" s="13" t="n"/>
      <c r="F22" s="13" t="n"/>
    </row>
    <row r="23">
      <c r="B23" s="13" t="n"/>
      <c r="C23" s="13" t="n"/>
      <c r="D23" s="13" t="n"/>
      <c r="E23" s="13" t="n"/>
      <c r="F23" s="13" t="n"/>
    </row>
    <row r="24">
      <c r="B24" s="13" t="n"/>
      <c r="C24" s="13" t="n"/>
      <c r="D24" s="13" t="n"/>
      <c r="E24" s="13" t="n"/>
      <c r="F24" s="13" t="n"/>
    </row>
    <row r="25">
      <c r="B25" s="13" t="n"/>
      <c r="C25" s="13" t="n"/>
      <c r="D25" s="13" t="n"/>
      <c r="E25" s="13" t="n"/>
      <c r="F25" s="13" t="n"/>
    </row>
    <row r="26">
      <c r="B26" s="13" t="n"/>
      <c r="C26" s="13" t="n"/>
      <c r="D26" s="13" t="n"/>
      <c r="E26" s="13" t="n"/>
      <c r="F26" s="13" t="n"/>
    </row>
    <row r="27">
      <c r="B27" s="13" t="n"/>
      <c r="C27" s="13" t="n"/>
      <c r="D27" s="13" t="n"/>
      <c r="E27" s="13" t="n"/>
      <c r="F27" s="13" t="n"/>
    </row>
    <row r="28">
      <c r="B28" s="13" t="n"/>
      <c r="C28" s="13" t="n"/>
      <c r="D28" s="13" t="n"/>
      <c r="E28" s="13" t="n"/>
      <c r="F28" s="13" t="n"/>
    </row>
    <row r="29">
      <c r="B29" s="13" t="n"/>
      <c r="C29" s="13" t="n"/>
      <c r="D29" s="13" t="n"/>
      <c r="E29" s="13" t="n"/>
      <c r="F29" s="13" t="n"/>
    </row>
    <row r="30">
      <c r="B30" s="13" t="n"/>
      <c r="C30" s="13" t="n"/>
      <c r="D30" s="13" t="n"/>
      <c r="E30" s="13" t="n"/>
      <c r="F30" s="13" t="n"/>
    </row>
    <row r="31">
      <c r="B31" s="13" t="n"/>
      <c r="C31" s="13" t="n"/>
      <c r="D31" s="13" t="n"/>
      <c r="E31" s="13" t="n"/>
      <c r="F31" s="13" t="n"/>
    </row>
    <row r="32">
      <c r="B32" s="13" t="n"/>
      <c r="C32" s="13" t="n"/>
      <c r="D32" s="13" t="n"/>
      <c r="E32" s="13" t="n"/>
      <c r="F32" s="13" t="n"/>
    </row>
    <row r="33">
      <c r="B33" s="13" t="n"/>
      <c r="C33" s="13" t="n"/>
      <c r="D33" s="13" t="n"/>
      <c r="E33" s="13" t="n"/>
      <c r="F33" s="13" t="n"/>
    </row>
    <row r="34">
      <c r="B34" s="13" t="n"/>
      <c r="C34" s="13" t="n"/>
      <c r="D34" s="13" t="n"/>
      <c r="E34" s="13" t="n"/>
      <c r="F34" s="13" t="n"/>
    </row>
    <row r="35">
      <c r="B35" s="13" t="n"/>
      <c r="C35" s="13" t="n"/>
      <c r="D35" s="13" t="n"/>
      <c r="E35" s="13" t="n"/>
      <c r="F35" s="13" t="n"/>
    </row>
    <row r="36">
      <c r="B36" s="13" t="n"/>
      <c r="C36" s="13" t="n"/>
      <c r="D36" s="13" t="n"/>
      <c r="E36" s="13" t="n"/>
      <c r="F36" s="13" t="n"/>
    </row>
    <row r="37">
      <c r="B37" s="13" t="n"/>
      <c r="C37" s="13" t="n"/>
      <c r="D37" s="13" t="n"/>
      <c r="E37" s="13" t="n"/>
      <c r="F37" s="13" t="n"/>
    </row>
    <row r="38">
      <c r="B38" s="13" t="n"/>
      <c r="C38" s="13" t="n"/>
      <c r="D38" s="13" t="n"/>
      <c r="E38" s="13" t="n"/>
      <c r="F38" s="13" t="n"/>
    </row>
    <row r="39">
      <c r="B39" s="13" t="n"/>
      <c r="C39" s="13" t="n"/>
      <c r="D39" s="13" t="n"/>
      <c r="E39" s="13" t="n"/>
      <c r="F39" s="13" t="n"/>
    </row>
    <row r="40">
      <c r="B40" s="13" t="n"/>
      <c r="C40" s="13" t="n"/>
      <c r="D40" s="13" t="n"/>
      <c r="E40" s="13" t="n"/>
      <c r="F40" s="13" t="n"/>
    </row>
    <row r="41">
      <c r="B41" s="13" t="n"/>
      <c r="C41" s="13" t="n"/>
      <c r="D41" s="13" t="n"/>
      <c r="E41" s="13" t="n"/>
      <c r="F41" s="13" t="n"/>
    </row>
    <row r="42">
      <c r="B42" s="13" t="n"/>
      <c r="C42" s="13" t="n"/>
      <c r="D42" s="13" t="n"/>
      <c r="E42" s="13" t="n"/>
      <c r="F42" s="13" t="n"/>
    </row>
    <row r="43">
      <c r="B43" s="13" t="n"/>
      <c r="C43" s="13" t="n"/>
      <c r="D43" s="13" t="n"/>
      <c r="E43" s="13" t="n"/>
      <c r="F43" s="13" t="n"/>
    </row>
    <row r="44">
      <c r="B44" s="13" t="n"/>
      <c r="C44" s="13" t="n"/>
      <c r="D44" s="13" t="n"/>
      <c r="E44" s="13" t="n"/>
      <c r="F44" s="13" t="n"/>
    </row>
    <row r="45">
      <c r="B45" s="13" t="n"/>
      <c r="C45" s="13" t="n"/>
      <c r="D45" s="13" t="n"/>
      <c r="E45" s="13" t="n"/>
      <c r="F45" s="13" t="n"/>
    </row>
    <row r="46">
      <c r="B46" s="13" t="n"/>
      <c r="C46" s="13" t="n"/>
      <c r="D46" s="13" t="n"/>
      <c r="E46" s="13" t="n"/>
      <c r="F46" s="13" t="n"/>
    </row>
    <row r="47">
      <c r="B47" s="13" t="n"/>
      <c r="C47" s="13" t="n"/>
      <c r="D47" s="13" t="n"/>
      <c r="E47" s="13" t="n"/>
      <c r="F47" s="13" t="n"/>
    </row>
    <row r="48">
      <c r="B48" s="13" t="n"/>
      <c r="C48" s="13" t="n"/>
      <c r="D48" s="13" t="n"/>
      <c r="E48" s="13" t="n"/>
      <c r="F48" s="13" t="n"/>
    </row>
    <row r="49">
      <c r="B49" s="13" t="n"/>
      <c r="C49" s="13" t="n"/>
      <c r="D49" s="13" t="n"/>
      <c r="E49" s="13" t="n"/>
      <c r="F49" s="13" t="n"/>
    </row>
    <row r="50">
      <c r="B50" s="13" t="n"/>
      <c r="C50" s="13" t="n"/>
      <c r="D50" s="13" t="n"/>
      <c r="E50" s="13" t="n"/>
      <c r="F50" s="13" t="n"/>
    </row>
    <row r="51">
      <c r="B51" s="13" t="n"/>
      <c r="C51" s="13" t="n"/>
      <c r="D51" s="13" t="n"/>
      <c r="E51" s="13" t="n"/>
      <c r="F51" s="13" t="n"/>
    </row>
    <row r="52">
      <c r="B52" s="13" t="n"/>
      <c r="C52" s="13" t="n"/>
      <c r="D52" s="13" t="n"/>
      <c r="E52" s="13" t="n"/>
      <c r="F52" s="13" t="n"/>
    </row>
    <row r="53">
      <c r="B53" s="13" t="n"/>
      <c r="C53" s="13" t="n"/>
      <c r="D53" s="13" t="n"/>
      <c r="E53" s="13" t="n"/>
      <c r="F53" s="13" t="n"/>
    </row>
    <row r="54">
      <c r="B54" s="13" t="n"/>
      <c r="C54" s="13" t="n"/>
      <c r="D54" s="13" t="n"/>
      <c r="E54" s="13" t="n"/>
      <c r="F54" s="13" t="n"/>
    </row>
    <row r="55">
      <c r="B55" s="13" t="n"/>
      <c r="C55" s="13" t="n"/>
      <c r="D55" s="13" t="n"/>
      <c r="E55" s="13" t="n"/>
      <c r="F55" s="13" t="n"/>
    </row>
    <row r="56">
      <c r="B56" s="13" t="n"/>
      <c r="C56" s="13" t="n"/>
      <c r="D56" s="13" t="n"/>
      <c r="E56" s="13" t="n"/>
      <c r="F56" s="13" t="n"/>
    </row>
    <row r="57">
      <c r="B57" s="13" t="n"/>
      <c r="C57" s="13" t="n"/>
      <c r="D57" s="13" t="n"/>
      <c r="E57" s="13" t="n"/>
      <c r="F57" s="13" t="n"/>
    </row>
    <row r="58">
      <c r="B58" s="13" t="n"/>
      <c r="C58" s="13" t="n"/>
      <c r="D58" s="13" t="n"/>
      <c r="E58" s="13" t="n"/>
      <c r="F58" s="13" t="n"/>
    </row>
    <row r="59">
      <c r="B59" s="13" t="n"/>
      <c r="C59" s="13" t="n"/>
      <c r="D59" s="13" t="n"/>
      <c r="E59" s="13" t="n"/>
      <c r="F59" s="13" t="n"/>
    </row>
    <row r="60">
      <c r="B60" s="13" t="n"/>
      <c r="C60" s="13" t="n"/>
      <c r="D60" s="13" t="n"/>
      <c r="E60" s="13" t="n"/>
      <c r="F60" s="13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7" customWidth="1" min="11" max="11"/>
    <col width="15" customWidth="1" min="12" max="12"/>
    <col width="11" customWidth="1" min="13" max="13"/>
  </cols>
  <sheetData>
    <row r="1">
      <c r="A1" t="inlineStr">
        <is>
          <t>Date</t>
        </is>
      </c>
      <c r="B1" t="inlineStr">
        <is>
          <t>M01AB</t>
        </is>
      </c>
      <c r="C1" t="inlineStr">
        <is>
          <t>M01AE</t>
        </is>
      </c>
      <c r="D1" t="inlineStr">
        <is>
          <t>N02BA</t>
        </is>
      </c>
      <c r="E1" t="inlineStr">
        <is>
          <t>N02BE</t>
        </is>
      </c>
      <c r="F1" t="inlineStr">
        <is>
          <t>N05B</t>
        </is>
      </c>
      <c r="G1" t="inlineStr">
        <is>
          <t>N05C</t>
        </is>
      </c>
      <c r="H1" t="inlineStr">
        <is>
          <t>R03</t>
        </is>
      </c>
      <c r="I1" t="inlineStr">
        <is>
          <t>R06</t>
        </is>
      </c>
      <c r="J1" t="inlineStr">
        <is>
          <t>Année</t>
        </is>
      </c>
      <c r="K1" t="inlineStr">
        <is>
          <t>Mois</t>
        </is>
      </c>
      <c r="L1" t="inlineStr">
        <is>
          <t>Jour (1 = lundi)</t>
        </is>
      </c>
      <c r="M1" t="inlineStr">
        <is>
          <t>Sélection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2026-10-08T13:49:31Z</dcterms:created>
  <dcterms:modified xsi:type="dcterms:W3CDTF">2026-10-08T13:49:31Z</dcterms:modified>
</cp:coreProperties>
</file>